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Tanques" sheetId="2" state="visible" r:id="rId4"/>
    <sheet name="Produtos" sheetId="3" state="visible" r:id="rId5"/>
    <sheet name="Insumos" sheetId="4" state="visible" r:id="rId6"/>
    <sheet name="Fornecedores" sheetId="5" state="visible" r:id="rId7"/>
    <sheet name="Equipamentos" sheetId="6" state="visible" r:id="rId8"/>
    <sheet name="Parâmetros de Qualidade" sheetId="7" state="visible" r:id="rId9"/>
    <sheet name="Colaboradores" sheetId="8" state="visible" r:id="rId10"/>
    <sheet name="Tarefas Padrã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<sst xmlns="http://schemas.openxmlformats.org/spreadsheetml/2006/main" count="224" uniqueCount="177">
  <si>
    <t xml:space="preserve">BASE DE REFERÊNCIA — CERVEJARIA HBIER</t>
  </si>
  <si>
    <t xml:space="preserve">Cadastros mestres consultados pelo app Rotina da Fábrica</t>
  </si>
  <si>
    <t xml:space="preserve">PARA QUE SERVE</t>
  </si>
  <si>
    <t xml:space="preserve">Esta planilha é a fonte única de verdade da fábrica. O app de rotina lê estes</t>
  </si>
  <si>
    <t xml:space="preserve">dados para preencher listas de tanques, produtos, insumos e parâmetros — em vez</t>
  </si>
  <si>
    <t xml:space="preserve">de cada pessoa digitar do jeito que lembra.</t>
  </si>
  <si>
    <t xml:space="preserve">COMO PREENCHER</t>
  </si>
  <si>
    <t xml:space="preserve">• A linha 5 de cada aba é um EXEMPLO (fundo creme, texto cinza). Apague-a depois</t>
  </si>
  <si>
    <t xml:space="preserve">  de entender o formato.</t>
  </si>
  <si>
    <t xml:space="preserve">• Não altere os nomes das colunas nem a posição delas: o app procura por nome.</t>
  </si>
  <si>
    <t xml:space="preserve">• Não insira linhas em branco no meio dos dados — a leitura para na primeira.</t>
  </si>
  <si>
    <t xml:space="preserve">• Códigos (coluna A) devem ser únicos e sem espaços. Use-os para ligar as abas.</t>
  </si>
  <si>
    <t xml:space="preserve">• Datas no formato AAAA-MM-DD (ex.: 2026-07-22).</t>
  </si>
  <si>
    <t xml:space="preserve">COMO O APP CONSULTA</t>
  </si>
  <si>
    <t xml:space="preserve">1. Suba esta planilha para o Google Drive e abra com o Google Sheets.</t>
  </si>
  <si>
    <t xml:space="preserve">2. Menu Arquivo → Compartilhar → Publicar na Web.</t>
  </si>
  <si>
    <t xml:space="preserve">3. Escolha a aba desejada, formato CSV, e clique em Publicar.</t>
  </si>
  <si>
    <t xml:space="preserve">4. Copie o link gerado e cole na variável BASE_CSV_URLS do projeto na Vercel.</t>
  </si>
  <si>
    <t xml:space="preserve">   Formato: Tanques=&lt;link&gt;;Produtos=&lt;link&gt;;Insumos=&lt;link&gt;</t>
  </si>
  <si>
    <t xml:space="preserve">5. O app passa a ler os dados atualizados a cada 5 minutos — quem editar a</t>
  </si>
  <si>
    <t xml:space="preserve">   planilha atualiza o app, sem mexer em código.</t>
  </si>
  <si>
    <t xml:space="preserve">ABAS DESTA PLANILHA</t>
  </si>
  <si>
    <t xml:space="preserve">Tanques ................. tanques da fábrica, capacidade e situação</t>
  </si>
  <si>
    <t xml:space="preserve">Produtos ................ chopes e produtos, com os códigos do Beerbo e BeerSales</t>
  </si>
  <si>
    <t xml:space="preserve">Insumos ................. maltes, lúpulos, leveduras e embalagens</t>
  </si>
  <si>
    <t xml:space="preserve">Fornecedores ............ contatos e prazos de entrega</t>
  </si>
  <si>
    <t xml:space="preserve">Equipamentos ............ máquinas e periodicidade de manutenção</t>
  </si>
  <si>
    <t xml:space="preserve">Parâmetros de Qualidade . limites aceitáveis de cada medição</t>
  </si>
  <si>
    <t xml:space="preserve">Colaboradores ........... quem tem acesso ao app e o que faz</t>
  </si>
  <si>
    <t xml:space="preserve">Tarefas Padrão .......... rotina oficial, espelhando o que está no app</t>
  </si>
  <si>
    <t xml:space="preserve">AVISO</t>
  </si>
  <si>
    <t xml:space="preserve">Publicar na web deixa a aba acessível por quem tiver o link. Não coloque senhas,</t>
  </si>
  <si>
    <t xml:space="preserve">dados bancários ou informações pessoais dos colaboradores nesta planilha.</t>
  </si>
  <si>
    <t xml:space="preserve">TANQUES</t>
  </si>
  <si>
    <t xml:space="preserve">Todo tanque da fábrica. O código é o que aparece na aba Análise de Equipamentos do Beerbo.</t>
  </si>
  <si>
    <t xml:space="preserve">Código</t>
  </si>
  <si>
    <t xml:space="preserve">Nome / Identificação</t>
  </si>
  <si>
    <t xml:space="preserve">Tipo</t>
  </si>
  <si>
    <t xml:space="preserve">Capacidade (L)</t>
  </si>
  <si>
    <t xml:space="preserve">Situação</t>
  </si>
  <si>
    <t xml:space="preserve">Produto atual</t>
  </si>
  <si>
    <t xml:space="preserve">Lote atual</t>
  </si>
  <si>
    <t xml:space="preserve">Observações</t>
  </si>
  <si>
    <t xml:space="preserve">TQ-01</t>
  </si>
  <si>
    <t xml:space="preserve">Fermentador 1</t>
  </si>
  <si>
    <t xml:space="preserve">Fermentador</t>
  </si>
  <si>
    <t xml:space="preserve">Em uso</t>
  </si>
  <si>
    <t xml:space="preserve">PILSEN</t>
  </si>
  <si>
    <t xml:space="preserve">L2607-01</t>
  </si>
  <si>
    <t xml:space="preserve">exemplo — apague esta linha</t>
  </si>
  <si>
    <t xml:space="preserve">PRODUTOS</t>
  </si>
  <si>
    <t xml:space="preserve">Chopes e demais produtos. Mantenha os códigos iguais aos dos sistemas para o cruzamento funcionar.</t>
  </si>
  <si>
    <t xml:space="preserve">Nome comercial</t>
  </si>
  <si>
    <t xml:space="preserve">Estilo</t>
  </si>
  <si>
    <t xml:space="preserve">Embalagem</t>
  </si>
  <si>
    <t xml:space="preserve">Volume (L)</t>
  </si>
  <si>
    <t xml:space="preserve">Código Beerbo</t>
  </si>
  <si>
    <t xml:space="preserve">Código BeerSales</t>
  </si>
  <si>
    <t xml:space="preserve">Ativo</t>
  </si>
  <si>
    <t xml:space="preserve">HBier Pilsen</t>
  </si>
  <si>
    <t xml:space="preserve">German Pilsner</t>
  </si>
  <si>
    <t xml:space="preserve">Barril</t>
  </si>
  <si>
    <t xml:space="preserve">BRB-001</t>
  </si>
  <si>
    <t xml:space="preserve">BS-1001</t>
  </si>
  <si>
    <t xml:space="preserve">Sim</t>
  </si>
  <si>
    <t xml:space="preserve">INSUMOS</t>
  </si>
  <si>
    <t xml:space="preserve">Base para a compra semanal. O estoque mínimo é o gatilho de reposição.</t>
  </si>
  <si>
    <t xml:space="preserve">Insumo</t>
  </si>
  <si>
    <t xml:space="preserve">Categoria</t>
  </si>
  <si>
    <t xml:space="preserve">Unidade</t>
  </si>
  <si>
    <t xml:space="preserve">Estoque mínimo</t>
  </si>
  <si>
    <t xml:space="preserve">Fornecedor (código)</t>
  </si>
  <si>
    <t xml:space="preserve">Prazo de entrega (dias)</t>
  </si>
  <si>
    <t xml:space="preserve">MLT-PIL</t>
  </si>
  <si>
    <t xml:space="preserve">Malte Pilsen</t>
  </si>
  <si>
    <t xml:space="preserve">Malte</t>
  </si>
  <si>
    <t xml:space="preserve">kg</t>
  </si>
  <si>
    <t xml:space="preserve">FOR-01</t>
  </si>
  <si>
    <t xml:space="preserve">FORNECEDORES</t>
  </si>
  <si>
    <t xml:space="preserve">Contatos usados na compra de insumos e na manutenção de equipamentos.</t>
  </si>
  <si>
    <t xml:space="preserve">Fornecedor</t>
  </si>
  <si>
    <t xml:space="preserve">O que fornece</t>
  </si>
  <si>
    <t xml:space="preserve">Contato</t>
  </si>
  <si>
    <t xml:space="preserve">Telefone / E-mail</t>
  </si>
  <si>
    <t xml:space="preserve">Prazo médio (dias)</t>
  </si>
  <si>
    <t xml:space="preserve">Maltaria Exemplo Ltda</t>
  </si>
  <si>
    <t xml:space="preserve">Maltes</t>
  </si>
  <si>
    <t xml:space="preserve">Nome do vendedor</t>
  </si>
  <si>
    <t xml:space="preserve">comercial@exemplo.com.br</t>
  </si>
  <si>
    <t xml:space="preserve">EQUIPAMENTOS</t>
  </si>
  <si>
    <t xml:space="preserve">Máquinas e periodicidade de manutenção. A próxima data é calculada automaticamente.</t>
  </si>
  <si>
    <t xml:space="preserve">Equipamento</t>
  </si>
  <si>
    <t xml:space="preserve">Fabricante / Modelo</t>
  </si>
  <si>
    <t xml:space="preserve">Frequência (dias)</t>
  </si>
  <si>
    <t xml:space="preserve">Última manutenção</t>
  </si>
  <si>
    <t xml:space="preserve">Próxima manutenção</t>
  </si>
  <si>
    <t xml:space="preserve">Responsável</t>
  </si>
  <si>
    <t xml:space="preserve">IMP-01</t>
  </si>
  <si>
    <t xml:space="preserve">Impressora de datas</t>
  </si>
  <si>
    <t xml:space="preserve">Markem Imaje</t>
  </si>
  <si>
    <t xml:space="preserve">2026-07-13</t>
  </si>
  <si>
    <t xml:space="preserve">Manutenção</t>
  </si>
  <si>
    <t xml:space="preserve">PARÂMETROS DE QUALIDADE</t>
  </si>
  <si>
    <t xml:space="preserve">Limites aceitáveis de cada medição. É a referência na hora de aprovar ou barrar um lote.</t>
  </si>
  <si>
    <t xml:space="preserve">Parâmetro</t>
  </si>
  <si>
    <t xml:space="preserve">Ponto de medição</t>
  </si>
  <si>
    <t xml:space="preserve">Mínimo</t>
  </si>
  <si>
    <t xml:space="preserve">Máximo</t>
  </si>
  <si>
    <t xml:space="preserve">Frequência</t>
  </si>
  <si>
    <t xml:space="preserve">Ação se estiver fora</t>
  </si>
  <si>
    <t xml:space="preserve">CLO-BRA</t>
  </si>
  <si>
    <t xml:space="preserve">Cloro livre</t>
  </si>
  <si>
    <t xml:space="preserve">Água da brassagem</t>
  </si>
  <si>
    <t xml:space="preserve">ppm</t>
  </si>
  <si>
    <t xml:space="preserve">Semanal</t>
  </si>
  <si>
    <t xml:space="preserve">COLABORADORES</t>
  </si>
  <si>
    <t xml:space="preserve">Quem tem acesso ao app. Nunca registre senhas aqui — elas ficam apenas no sistema.</t>
  </si>
  <si>
    <t xml:space="preserve">Usuário (login)</t>
  </si>
  <si>
    <t xml:space="preserve">Nome</t>
  </si>
  <si>
    <t xml:space="preserve">Setor</t>
  </si>
  <si>
    <t xml:space="preserve">Perfil no app</t>
  </si>
  <si>
    <t xml:space="preserve">Turno</t>
  </si>
  <si>
    <t xml:space="preserve">marcos</t>
  </si>
  <si>
    <t xml:space="preserve">Nome do colaborador</t>
  </si>
  <si>
    <t xml:space="preserve">Envase</t>
  </si>
  <si>
    <t xml:space="preserve">Colaborador</t>
  </si>
  <si>
    <t xml:space="preserve">Manhã</t>
  </si>
  <si>
    <t xml:space="preserve">TAREFAS PADRÃO</t>
  </si>
  <si>
    <t xml:space="preserve">Rotina oficial da fábrica. Serve de referência e de roteiro para recriar o app do zero.</t>
  </si>
  <si>
    <t xml:space="preserve">Tarefa</t>
  </si>
  <si>
    <t xml:space="preserve">Descrição</t>
  </si>
  <si>
    <t xml:space="preserve">Dia fixo</t>
  </si>
  <si>
    <t xml:space="preserve">Responsável (login)</t>
  </si>
  <si>
    <t xml:space="preserve">Lembrete ao executar</t>
  </si>
  <si>
    <t xml:space="preserve">Sistema</t>
  </si>
  <si>
    <t xml:space="preserve">Lançar produções no Beerbo</t>
  </si>
  <si>
    <t xml:space="preserve">sincronizadas com o BeerSales</t>
  </si>
  <si>
    <t xml:space="preserve">Diária</t>
  </si>
  <si>
    <t xml:space="preserve">Beerbo</t>
  </si>
  <si>
    <t xml:space="preserve">Lançar envases</t>
  </si>
  <si>
    <t xml:space="preserve">envases do dia</t>
  </si>
  <si>
    <t xml:space="preserve">Verificar liberação de lotes</t>
  </si>
  <si>
    <t xml:space="preserve">lotes liberados para faturar</t>
  </si>
  <si>
    <t xml:space="preserve">BeerSales</t>
  </si>
  <si>
    <t xml:space="preserve">Migrar estoque para câmara fria</t>
  </si>
  <si>
    <t xml:space="preserve">tanques → câmara fria na baixa em barris</t>
  </si>
  <si>
    <t xml:space="preserve">Acompanhar aba Faturamento</t>
  </si>
  <si>
    <t xml:space="preserve">está dando baixa no estoque ou só faturando?</t>
  </si>
  <si>
    <t xml:space="preserve">Conferir chope no tanque × BeerSales</t>
  </si>
  <si>
    <t xml:space="preserve">volume e lote batendo com o sistema</t>
  </si>
  <si>
    <t xml:space="preserve">Lançar programação de produção e ajustar</t>
  </si>
  <si>
    <t xml:space="preserve">produções da semana lançadas e ajustadas</t>
  </si>
  <si>
    <t xml:space="preserve">Atrelar o tanque — aba Análise de Equipamentos</t>
  </si>
  <si>
    <t xml:space="preserve">Cobrar contagem de estoque</t>
  </si>
  <si>
    <t xml:space="preserve">contagem semanal cobrada e recebida</t>
  </si>
  <si>
    <t xml:space="preserve">—</t>
  </si>
  <si>
    <t xml:space="preserve">Comprar insumos para produção</t>
  </si>
  <si>
    <t xml:space="preserve">revisar o que falta para a semana atual + a seguinte</t>
  </si>
  <si>
    <t xml:space="preserve">Segunda</t>
  </si>
  <si>
    <t xml:space="preserve">Conferir estoque mínimo na aba Insumos</t>
  </si>
  <si>
    <t xml:space="preserve">Conferir dados de produção no Beerbo</t>
  </si>
  <si>
    <t xml:space="preserve">carbonatação, pressão do tanque e densidade</t>
  </si>
  <si>
    <t xml:space="preserve">Solicitar medição de cloro — brassagem</t>
  </si>
  <si>
    <t xml:space="preserve">água da brassagem</t>
  </si>
  <si>
    <t xml:space="preserve">Solicitar medição de cloro — caldeira</t>
  </si>
  <si>
    <t xml:space="preserve">tanque da água do condensado</t>
  </si>
  <si>
    <t xml:space="preserve">Quinzenal</t>
  </si>
  <si>
    <t xml:space="preserve">Verificar materiais da impressora Markem Imaje</t>
  </si>
  <si>
    <t xml:space="preserve">tinta, solvente e demais consumíveis</t>
  </si>
  <si>
    <t xml:space="preserve">Lançar manutenções no BeerSales</t>
  </si>
  <si>
    <t xml:space="preserve">registro de cada manutenção</t>
  </si>
  <si>
    <t xml:space="preserve">Conforme demanda</t>
  </si>
  <si>
    <t xml:space="preserve">Criação de rótulos e produtos</t>
  </si>
  <si>
    <t xml:space="preserve">novos rótulos e cadastros</t>
  </si>
  <si>
    <t xml:space="preserve">Troca do filtro de água</t>
  </si>
  <si>
    <t xml:space="preserve">substituição programada — fevereiro de 2027</t>
  </si>
  <si>
    <t xml:space="preserve">Lembrete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</si>
</sst>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5F1D"/>
      <name val="Arial"/>
      <family val="0"/>
      <charset val="1"/>
    </font>
    <font>
      <b val="true"/>
      <sz val="10"/>
      <color rgb="FFC997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25F1D"/>
      <name val="Arial"/>
      <family val="0"/>
      <charset val="1"/>
    </font>
    <font>
      <b val="true"/>
      <sz val="14"/>
      <color rgb="FF025F1D"/>
      <name val="Arial"/>
      <family val="0"/>
      <charset val="1"/>
    </font>
    <font>
      <i val="true"/>
      <sz val="9"/>
      <color rgb="FF6E75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25F1D"/>
        <bgColor rgb="FF003300"/>
      </patternFill>
    </fill>
    <fill>
      <patternFill patternType="solid">
        <fgColor rgb="FFFFF6DE"/>
        <bgColor rgb="FFF2F1EB"/>
      </patternFill>
    </fill>
    <fill>
      <patternFill patternType="solid">
        <fgColor rgb="FFF2F1EB"/>
        <bgColor rgb="FFFFF6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6C9"/>
      </left>
      <right style="thin">
        <color rgb="FFD9D6C9"/>
      </right>
      <top style="thin">
        <color rgb="FFD9D6C9"/>
      </top>
      <bottom style="thin">
        <color rgb="FFD9D6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5F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E"/>
      <rgbColor rgb="FFF2F1EB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00"/>
      <rgbColor rgb="FFFF6600"/>
      <rgbColor rgb="FF6E7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3" t="s">
        <v>22</v>
      </c>
    </row>
    <row r="28" customFormat="false" ht="15" hidden="false" customHeight="false" outlineLevel="0" collapsed="false">
      <c r="B28" s="3" t="s">
        <v>23</v>
      </c>
    </row>
    <row r="29" customFormat="false" ht="15" hidden="false" customHeight="false" outlineLevel="0" collapsed="false">
      <c r="B29" s="3" t="s">
        <v>24</v>
      </c>
    </row>
    <row r="30" customFormat="false" ht="15" hidden="false" customHeight="false" outlineLevel="0" collapsed="false">
      <c r="B30" s="3" t="s">
        <v>25</v>
      </c>
    </row>
    <row r="31" customFormat="false" ht="15" hidden="false" customHeight="false" outlineLevel="0" collapsed="false">
      <c r="B31" s="3" t="s">
        <v>26</v>
      </c>
    </row>
    <row r="32" customFormat="false" ht="15" hidden="false" customHeight="false" outlineLevel="0" collapsed="false">
      <c r="B32" s="3" t="s">
        <v>27</v>
      </c>
    </row>
    <row r="33" customFormat="false" ht="15" hidden="false" customHeight="false" outlineLevel="0" collapsed="false">
      <c r="B33" s="3" t="s">
        <v>28</v>
      </c>
    </row>
    <row r="34" customFormat="false" ht="15" hidden="false" customHeight="false" outlineLevel="0" collapsed="false">
      <c r="B34" s="3" t="s">
        <v>29</v>
      </c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3" t="s">
        <v>31</v>
      </c>
    </row>
    <row r="38" customFormat="false" ht="15" hidden="false" customHeight="false" outlineLevel="0" collapsed="false">
      <c r="B38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6" t="s">
        <v>34</v>
      </c>
    </row>
    <row r="4" customFormat="false" ht="30" hidden="false" customHeight="tru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42</v>
      </c>
    </row>
    <row r="5" customFormat="false" ht="15" hidden="false" customHeight="false" outlineLevel="0" collapsed="false">
      <c r="A5" s="8" t="s">
        <v>43</v>
      </c>
      <c r="B5" s="8" t="s">
        <v>44</v>
      </c>
      <c r="C5" s="8" t="s">
        <v>45</v>
      </c>
      <c r="D5" s="8" t="n">
        <v>2000</v>
      </c>
      <c r="E5" s="8" t="s">
        <v>46</v>
      </c>
      <c r="F5" s="8" t="s">
        <v>47</v>
      </c>
      <c r="G5" s="8" t="s">
        <v>48</v>
      </c>
      <c r="H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6" t="s">
        <v>51</v>
      </c>
    </row>
    <row r="4" customFormat="false" ht="30" hidden="false" customHeight="true" outlineLevel="0" collapsed="false">
      <c r="A4" s="7" t="s">
        <v>35</v>
      </c>
      <c r="B4" s="7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42</v>
      </c>
    </row>
    <row r="5" customFormat="false" ht="15" hidden="false" customHeight="false" outlineLevel="0" collapsed="false">
      <c r="A5" s="8" t="s">
        <v>47</v>
      </c>
      <c r="B5" s="8" t="s">
        <v>59</v>
      </c>
      <c r="C5" s="8" t="s">
        <v>60</v>
      </c>
      <c r="D5" s="8" t="s">
        <v>61</v>
      </c>
      <c r="E5" s="8" t="n">
        <v>30</v>
      </c>
      <c r="F5" s="8" t="s">
        <v>62</v>
      </c>
      <c r="G5" s="8" t="s">
        <v>63</v>
      </c>
      <c r="H5" s="8" t="s">
        <v>64</v>
      </c>
      <c r="I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5" t="s">
        <v>65</v>
      </c>
    </row>
    <row r="2" customFormat="false" ht="15" hidden="false" customHeight="false" outlineLevel="0" collapsed="false">
      <c r="A2" s="6" t="s">
        <v>66</v>
      </c>
    </row>
    <row r="4" customFormat="false" ht="30" hidden="false" customHeight="true" outlineLevel="0" collapsed="false">
      <c r="A4" s="7" t="s">
        <v>35</v>
      </c>
      <c r="B4" s="7" t="s">
        <v>67</v>
      </c>
      <c r="C4" s="7" t="s">
        <v>68</v>
      </c>
      <c r="D4" s="7" t="s">
        <v>69</v>
      </c>
      <c r="E4" s="7" t="s">
        <v>70</v>
      </c>
      <c r="F4" s="7" t="s">
        <v>71</v>
      </c>
      <c r="G4" s="7" t="s">
        <v>72</v>
      </c>
      <c r="H4" s="7" t="s">
        <v>42</v>
      </c>
    </row>
    <row r="5" customFormat="false" ht="15" hidden="false" customHeight="false" outlineLevel="0" collapsed="false">
      <c r="A5" s="8" t="s">
        <v>73</v>
      </c>
      <c r="B5" s="8" t="s">
        <v>74</v>
      </c>
      <c r="C5" s="8" t="s">
        <v>75</v>
      </c>
      <c r="D5" s="8" t="s">
        <v>76</v>
      </c>
      <c r="E5" s="8" t="n">
        <v>500</v>
      </c>
      <c r="F5" s="8" t="s">
        <v>77</v>
      </c>
      <c r="G5" s="8" t="n">
        <v>7</v>
      </c>
      <c r="H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5" t="s">
        <v>78</v>
      </c>
    </row>
    <row r="2" customFormat="false" ht="15" hidden="false" customHeight="false" outlineLevel="0" collapsed="false">
      <c r="A2" s="6" t="s">
        <v>79</v>
      </c>
    </row>
    <row r="4" customFormat="false" ht="30" hidden="false" customHeight="true" outlineLevel="0" collapsed="false">
      <c r="A4" s="7" t="s">
        <v>35</v>
      </c>
      <c r="B4" s="7" t="s">
        <v>80</v>
      </c>
      <c r="C4" s="7" t="s">
        <v>81</v>
      </c>
      <c r="D4" s="7" t="s">
        <v>82</v>
      </c>
      <c r="E4" s="7" t="s">
        <v>83</v>
      </c>
      <c r="F4" s="7" t="s">
        <v>84</v>
      </c>
      <c r="G4" s="7" t="s">
        <v>42</v>
      </c>
    </row>
    <row r="5" customFormat="false" ht="15" hidden="false" customHeight="false" outlineLevel="0" collapsed="false">
      <c r="A5" s="8" t="s">
        <v>77</v>
      </c>
      <c r="B5" s="8" t="s">
        <v>85</v>
      </c>
      <c r="C5" s="8" t="s">
        <v>86</v>
      </c>
      <c r="D5" s="8" t="s">
        <v>87</v>
      </c>
      <c r="E5" s="8" t="s">
        <v>88</v>
      </c>
      <c r="F5" s="8" t="n">
        <v>7</v>
      </c>
      <c r="G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5" t="s">
        <v>89</v>
      </c>
    </row>
    <row r="2" customFormat="false" ht="15" hidden="false" customHeight="false" outlineLevel="0" collapsed="false">
      <c r="A2" s="6" t="s">
        <v>90</v>
      </c>
    </row>
    <row r="4" customFormat="false" ht="30" hidden="false" customHeight="true" outlineLevel="0" collapsed="false">
      <c r="A4" s="7" t="s">
        <v>35</v>
      </c>
      <c r="B4" s="7" t="s">
        <v>91</v>
      </c>
      <c r="C4" s="7" t="s">
        <v>92</v>
      </c>
      <c r="D4" s="7" t="s">
        <v>93</v>
      </c>
      <c r="E4" s="7" t="s">
        <v>94</v>
      </c>
      <c r="F4" s="7" t="s">
        <v>95</v>
      </c>
      <c r="G4" s="7" t="s">
        <v>96</v>
      </c>
      <c r="H4" s="7" t="s">
        <v>42</v>
      </c>
    </row>
    <row r="5" customFormat="false" ht="15" hidden="false" customHeight="false" outlineLevel="0" collapsed="false">
      <c r="A5" s="8" t="s">
        <v>97</v>
      </c>
      <c r="B5" s="8" t="s">
        <v>98</v>
      </c>
      <c r="C5" s="8" t="s">
        <v>99</v>
      </c>
      <c r="D5" s="8" t="n">
        <v>15</v>
      </c>
      <c r="E5" s="8" t="s">
        <v>100</v>
      </c>
      <c r="F5" s="8" t="str">
        <f aca="false">IF(OR(D5="",E5=""),"",TEXT(DATEVALUE(E5)+D5,"YYYY-MM-DD"))</f>
        <v>2026-07-28</v>
      </c>
      <c r="G5" s="8" t="s">
        <v>101</v>
      </c>
      <c r="H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 t="str">
        <f aca="false">IF(OR(D6="",E6=""),"",TEXT(DATEVALUE(E6)+D6,"YYYY-MM-DD"))</f>
        <v/>
      </c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 t="str">
        <f aca="false">IF(OR(D7="",E7=""),"",TEXT(DATEVALUE(E7)+D7,"YYYY-MM-DD"))</f>
        <v/>
      </c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 t="str">
        <f aca="false">IF(OR(D8="",E8=""),"",TEXT(DATEVALUE(E8)+D8,"YYYY-MM-DD"))</f>
        <v/>
      </c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 t="str">
        <f aca="false">IF(OR(D9="",E9=""),"",TEXT(DATEVALUE(E9)+D9,"YYYY-MM-DD"))</f>
        <v/>
      </c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 t="str">
        <f aca="false">IF(OR(D10="",E10=""),"",TEXT(DATEVALUE(E10)+D10,"YYYY-MM-DD"))</f>
        <v/>
      </c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 t="str">
        <f aca="false">IF(OR(D11="",E11=""),"",TEXT(DATEVALUE(E11)+D11,"YYYY-MM-DD"))</f>
        <v/>
      </c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 t="str">
        <f aca="false">IF(OR(D12="",E12=""),"",TEXT(DATEVALUE(E12)+D12,"YYYY-MM-DD"))</f>
        <v/>
      </c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 t="str">
        <f aca="false">IF(OR(D13="",E13=""),"",TEXT(DATEVALUE(E13)+D13,"YYYY-MM-DD"))</f>
        <v/>
      </c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 t="str">
        <f aca="false">IF(OR(D14="",E14=""),"",TEXT(DATEVALUE(E14)+D14,"YYYY-MM-DD"))</f>
        <v/>
      </c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 t="str">
        <f aca="false">IF(OR(D15="",E15=""),"",TEXT(DATEVALUE(E15)+D15,"YYYY-MM-DD"))</f>
        <v/>
      </c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 t="str">
        <f aca="false">IF(OR(D16="",E16=""),"",TEXT(DATEVALUE(E16)+D16,"YYYY-MM-DD"))</f>
        <v/>
      </c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 t="str">
        <f aca="false">IF(OR(D17="",E17=""),"",TEXT(DATEVALUE(E17)+D17,"YYYY-MM-DD"))</f>
        <v/>
      </c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 t="str">
        <f aca="false">IF(OR(D18="",E18=""),"",TEXT(DATEVALUE(E18)+D18,"YYYY-MM-DD"))</f>
        <v/>
      </c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 t="str">
        <f aca="false">IF(OR(D19="",E19=""),"",TEXT(DATEVALUE(E19)+D19,"YYYY-MM-DD"))</f>
        <v/>
      </c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 t="str">
        <f aca="false">IF(OR(D20="",E20=""),"",TEXT(DATEVALUE(E20)+D20,"YYYY-MM-DD"))</f>
        <v/>
      </c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 t="str">
        <f aca="false">IF(OR(D21="",E21=""),"",TEXT(DATEVALUE(E21)+D21,"YYYY-MM-DD"))</f>
        <v/>
      </c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 t="str">
        <f aca="false">IF(OR(D22="",E22=""),"",TEXT(DATEVALUE(E22)+D22,"YYYY-MM-DD"))</f>
        <v/>
      </c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 t="str">
        <f aca="false">IF(OR(D23="",E23=""),"",TEXT(DATEVALUE(E23)+D23,"YYYY-MM-DD"))</f>
        <v/>
      </c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 t="str">
        <f aca="false">IF(OR(D24="",E24=""),"",TEXT(DATEVALUE(E24)+D24,"YYYY-MM-DD"))</f>
        <v/>
      </c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 t="str">
        <f aca="false">IF(OR(D25="",E25=""),"",TEXT(DATEVALUE(E25)+D25,"YYYY-MM-DD"))</f>
        <v/>
      </c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 t="str">
        <f aca="false">IF(OR(D26="",E26=""),"",TEXT(DATEVALUE(E26)+D26,"YYYY-MM-DD"))</f>
        <v/>
      </c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 t="str">
        <f aca="false">IF(OR(D27="",E27=""),"",TEXT(DATEVALUE(E27)+D27,"YYYY-MM-DD"))</f>
        <v/>
      </c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 t="str">
        <f aca="false">IF(OR(D28="",E28=""),"",TEXT(DATEVALUE(E28)+D28,"YYYY-MM-DD"))</f>
        <v/>
      </c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 t="str">
        <f aca="false">IF(OR(D29="",E29=""),"",TEXT(DATEVALUE(E29)+D29,"YYYY-MM-DD"))</f>
        <v/>
      </c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 t="str">
        <f aca="false">IF(OR(D30="",E30=""),"",TEXT(DATEVALUE(E30)+D30,"YYYY-MM-DD"))</f>
        <v/>
      </c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 t="str">
        <f aca="false">IF(OR(D31="",E31=""),"",TEXT(DATEVALUE(E31)+D31,"YYYY-MM-DD"))</f>
        <v/>
      </c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 t="str">
        <f aca="false">IF(OR(D32="",E32=""),"",TEXT(DATEVALUE(E32)+D32,"YYYY-MM-DD"))</f>
        <v/>
      </c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 t="str">
        <f aca="false">IF(OR(D33="",E33=""),"",TEXT(DATEVALUE(E33)+D33,"YYYY-MM-DD"))</f>
        <v/>
      </c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 t="str">
        <f aca="false">IF(OR(D34="",E34=""),"",TEXT(DATEVALUE(E34)+D34,"YYYY-MM-DD"))</f>
        <v/>
      </c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 t="str">
        <f aca="false">IF(OR(D35="",E35=""),"",TEXT(DATEVALUE(E35)+D35,"YYYY-MM-DD"))</f>
        <v/>
      </c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 t="str">
        <f aca="false">IF(OR(D36="",E36=""),"",TEXT(DATEVALUE(E36)+D36,"YYYY-MM-DD"))</f>
        <v/>
      </c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 t="str">
        <f aca="false">IF(OR(D37="",E37=""),"",TEXT(DATEVALUE(E37)+D37,"YYYY-MM-DD"))</f>
        <v/>
      </c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 t="str">
        <f aca="false">IF(OR(D38="",E38=""),"",TEXT(DATEVALUE(E38)+D38,"YYYY-MM-DD"))</f>
        <v/>
      </c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 t="str">
        <f aca="false">IF(OR(D39="",E39=""),"",TEXT(DATEVALUE(E39)+D39,"YYYY-MM-DD"))</f>
        <v/>
      </c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 t="str">
        <f aca="false">IF(OR(D40="",E40=""),"",TEXT(DATEVALUE(E40)+D40,"YYYY-MM-DD"))</f>
        <v/>
      </c>
      <c r="G40" s="9"/>
      <c r="H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5" t="s">
        <v>102</v>
      </c>
    </row>
    <row r="2" customFormat="false" ht="15" hidden="false" customHeight="false" outlineLevel="0" collapsed="false">
      <c r="A2" s="6" t="s">
        <v>103</v>
      </c>
    </row>
    <row r="4" customFormat="false" ht="30" hidden="false" customHeight="true" outlineLevel="0" collapsed="false">
      <c r="A4" s="7" t="s">
        <v>35</v>
      </c>
      <c r="B4" s="7" t="s">
        <v>104</v>
      </c>
      <c r="C4" s="7" t="s">
        <v>105</v>
      </c>
      <c r="D4" s="7" t="s">
        <v>106</v>
      </c>
      <c r="E4" s="7" t="s">
        <v>107</v>
      </c>
      <c r="F4" s="7" t="s">
        <v>69</v>
      </c>
      <c r="G4" s="7" t="s">
        <v>108</v>
      </c>
      <c r="H4" s="7" t="s">
        <v>109</v>
      </c>
    </row>
    <row r="5" customFormat="false" ht="15" hidden="false" customHeight="false" outlineLevel="0" collapsed="false">
      <c r="A5" s="8" t="s">
        <v>110</v>
      </c>
      <c r="B5" s="8" t="s">
        <v>111</v>
      </c>
      <c r="C5" s="8" t="s">
        <v>112</v>
      </c>
      <c r="D5" s="8" t="n">
        <v>0</v>
      </c>
      <c r="E5" s="8" t="n">
        <v>0.1</v>
      </c>
      <c r="F5" s="8" t="s">
        <v>113</v>
      </c>
      <c r="G5" s="8" t="s">
        <v>114</v>
      </c>
      <c r="H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5" t="s">
        <v>115</v>
      </c>
    </row>
    <row r="2" customFormat="false" ht="15" hidden="false" customHeight="false" outlineLevel="0" collapsed="false">
      <c r="A2" s="6" t="s">
        <v>116</v>
      </c>
    </row>
    <row r="4" customFormat="false" ht="30" hidden="false" customHeight="true" outlineLevel="0" collapsed="false">
      <c r="A4" s="7" t="s">
        <v>117</v>
      </c>
      <c r="B4" s="7" t="s">
        <v>118</v>
      </c>
      <c r="C4" s="7" t="s">
        <v>119</v>
      </c>
      <c r="D4" s="7" t="s">
        <v>120</v>
      </c>
      <c r="E4" s="7" t="s">
        <v>121</v>
      </c>
      <c r="F4" s="7" t="s">
        <v>58</v>
      </c>
      <c r="G4" s="7" t="s">
        <v>42</v>
      </c>
    </row>
    <row r="5" customFormat="false" ht="15" hidden="false" customHeight="false" outlineLevel="0" collapsed="false">
      <c r="A5" s="8" t="s">
        <v>122</v>
      </c>
      <c r="B5" s="8" t="s">
        <v>123</v>
      </c>
      <c r="C5" s="8" t="s">
        <v>124</v>
      </c>
      <c r="D5" s="8" t="s">
        <v>125</v>
      </c>
      <c r="E5" s="8" t="s">
        <v>126</v>
      </c>
      <c r="F5" s="8" t="s">
        <v>64</v>
      </c>
      <c r="G5" s="8" t="s">
        <v>49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5" t="s">
        <v>127</v>
      </c>
    </row>
    <row r="2" customFormat="false" ht="15" hidden="false" customHeight="false" outlineLevel="0" collapsed="false">
      <c r="A2" s="6" t="s">
        <v>128</v>
      </c>
    </row>
    <row r="4" customFormat="false" ht="30" hidden="false" customHeight="true" outlineLevel="0" collapsed="false">
      <c r="A4" s="7" t="s">
        <v>129</v>
      </c>
      <c r="B4" s="7" t="s">
        <v>130</v>
      </c>
      <c r="C4" s="7" t="s">
        <v>108</v>
      </c>
      <c r="D4" s="7" t="s">
        <v>131</v>
      </c>
      <c r="E4" s="7" t="s">
        <v>132</v>
      </c>
      <c r="F4" s="7" t="s">
        <v>133</v>
      </c>
      <c r="G4" s="7" t="s">
        <v>134</v>
      </c>
    </row>
    <row r="5" customFormat="false" ht="15" hidden="false" customHeight="false" outlineLevel="0" collapsed="false">
      <c r="A5" s="10" t="s">
        <v>135</v>
      </c>
      <c r="B5" s="10" t="s">
        <v>136</v>
      </c>
      <c r="C5" s="11" t="s">
        <v>137</v>
      </c>
      <c r="D5" s="10"/>
      <c r="E5" s="10"/>
      <c r="F5" s="10"/>
      <c r="G5" s="10" t="s">
        <v>138</v>
      </c>
    </row>
    <row r="6" customFormat="false" ht="15" hidden="false" customHeight="false" outlineLevel="0" collapsed="false">
      <c r="A6" s="10" t="s">
        <v>139</v>
      </c>
      <c r="B6" s="10" t="s">
        <v>140</v>
      </c>
      <c r="C6" s="11" t="s">
        <v>137</v>
      </c>
      <c r="D6" s="10"/>
      <c r="E6" s="10"/>
      <c r="F6" s="10"/>
      <c r="G6" s="10" t="s">
        <v>138</v>
      </c>
    </row>
    <row r="7" customFormat="false" ht="15" hidden="false" customHeight="false" outlineLevel="0" collapsed="false">
      <c r="A7" s="10" t="s">
        <v>141</v>
      </c>
      <c r="B7" s="10" t="s">
        <v>142</v>
      </c>
      <c r="C7" s="11" t="s">
        <v>137</v>
      </c>
      <c r="D7" s="10"/>
      <c r="E7" s="10"/>
      <c r="F7" s="10"/>
      <c r="G7" s="10" t="s">
        <v>143</v>
      </c>
    </row>
    <row r="8" customFormat="false" ht="15" hidden="false" customHeight="false" outlineLevel="0" collapsed="false">
      <c r="A8" s="10" t="s">
        <v>144</v>
      </c>
      <c r="B8" s="10" t="s">
        <v>145</v>
      </c>
      <c r="C8" s="11" t="s">
        <v>137</v>
      </c>
      <c r="D8" s="10"/>
      <c r="E8" s="10"/>
      <c r="F8" s="10"/>
      <c r="G8" s="10" t="s">
        <v>143</v>
      </c>
    </row>
    <row r="9" customFormat="false" ht="15" hidden="false" customHeight="false" outlineLevel="0" collapsed="false">
      <c r="A9" s="10" t="s">
        <v>146</v>
      </c>
      <c r="B9" s="10" t="s">
        <v>147</v>
      </c>
      <c r="C9" s="11" t="s">
        <v>137</v>
      </c>
      <c r="D9" s="10"/>
      <c r="E9" s="10"/>
      <c r="F9" s="10"/>
      <c r="G9" s="10" t="s">
        <v>143</v>
      </c>
    </row>
    <row r="10" customFormat="false" ht="15" hidden="false" customHeight="false" outlineLevel="0" collapsed="false">
      <c r="A10" s="10" t="s">
        <v>148</v>
      </c>
      <c r="B10" s="10" t="s">
        <v>149</v>
      </c>
      <c r="C10" s="11" t="s">
        <v>137</v>
      </c>
      <c r="D10" s="10"/>
      <c r="E10" s="10"/>
      <c r="F10" s="10"/>
      <c r="G10" s="10" t="s">
        <v>143</v>
      </c>
    </row>
    <row r="11" customFormat="false" ht="15" hidden="false" customHeight="false" outlineLevel="0" collapsed="false">
      <c r="A11" s="10" t="s">
        <v>150</v>
      </c>
      <c r="B11" s="10" t="s">
        <v>151</v>
      </c>
      <c r="C11" s="11" t="s">
        <v>114</v>
      </c>
      <c r="D11" s="10"/>
      <c r="E11" s="10"/>
      <c r="F11" s="10" t="s">
        <v>152</v>
      </c>
      <c r="G11" s="10" t="s">
        <v>138</v>
      </c>
    </row>
    <row r="12" customFormat="false" ht="15" hidden="false" customHeight="false" outlineLevel="0" collapsed="false">
      <c r="A12" s="10" t="s">
        <v>153</v>
      </c>
      <c r="B12" s="10" t="s">
        <v>154</v>
      </c>
      <c r="C12" s="11" t="s">
        <v>114</v>
      </c>
      <c r="D12" s="10"/>
      <c r="E12" s="10"/>
      <c r="F12" s="10"/>
      <c r="G12" s="10" t="s">
        <v>155</v>
      </c>
    </row>
    <row r="13" customFormat="false" ht="15" hidden="false" customHeight="false" outlineLevel="0" collapsed="false">
      <c r="A13" s="10" t="s">
        <v>156</v>
      </c>
      <c r="B13" s="10" t="s">
        <v>157</v>
      </c>
      <c r="C13" s="11" t="s">
        <v>114</v>
      </c>
      <c r="D13" s="10" t="s">
        <v>158</v>
      </c>
      <c r="E13" s="10"/>
      <c r="F13" s="10" t="s">
        <v>159</v>
      </c>
      <c r="G13" s="10" t="s">
        <v>155</v>
      </c>
    </row>
    <row r="14" customFormat="false" ht="15" hidden="false" customHeight="false" outlineLevel="0" collapsed="false">
      <c r="A14" s="10" t="s">
        <v>160</v>
      </c>
      <c r="B14" s="10" t="s">
        <v>161</v>
      </c>
      <c r="C14" s="11" t="s">
        <v>114</v>
      </c>
      <c r="D14" s="10"/>
      <c r="E14" s="10"/>
      <c r="F14" s="10"/>
      <c r="G14" s="10" t="s">
        <v>138</v>
      </c>
    </row>
    <row r="15" customFormat="false" ht="15" hidden="false" customHeight="false" outlineLevel="0" collapsed="false">
      <c r="A15" s="10" t="s">
        <v>162</v>
      </c>
      <c r="B15" s="10" t="s">
        <v>163</v>
      </c>
      <c r="C15" s="11" t="s">
        <v>114</v>
      </c>
      <c r="D15" s="10"/>
      <c r="E15" s="10"/>
      <c r="F15" s="10"/>
      <c r="G15" s="10" t="s">
        <v>155</v>
      </c>
    </row>
    <row r="16" customFormat="false" ht="15" hidden="false" customHeight="false" outlineLevel="0" collapsed="false">
      <c r="A16" s="10" t="s">
        <v>164</v>
      </c>
      <c r="B16" s="10" t="s">
        <v>165</v>
      </c>
      <c r="C16" s="11" t="s">
        <v>166</v>
      </c>
      <c r="D16" s="10"/>
      <c r="E16" s="10"/>
      <c r="F16" s="10"/>
      <c r="G16" s="10" t="s">
        <v>155</v>
      </c>
    </row>
    <row r="17" customFormat="false" ht="15" hidden="false" customHeight="false" outlineLevel="0" collapsed="false">
      <c r="A17" s="10" t="s">
        <v>167</v>
      </c>
      <c r="B17" s="10" t="s">
        <v>168</v>
      </c>
      <c r="C17" s="11" t="s">
        <v>166</v>
      </c>
      <c r="D17" s="10"/>
      <c r="E17" s="10"/>
      <c r="F17" s="10"/>
      <c r="G17" s="10" t="s">
        <v>155</v>
      </c>
    </row>
    <row r="18" customFormat="false" ht="23.85" hidden="false" customHeight="false" outlineLevel="0" collapsed="false">
      <c r="A18" s="10" t="s">
        <v>169</v>
      </c>
      <c r="B18" s="10" t="s">
        <v>170</v>
      </c>
      <c r="C18" s="11" t="s">
        <v>171</v>
      </c>
      <c r="D18" s="10"/>
      <c r="E18" s="10"/>
      <c r="F18" s="10"/>
      <c r="G18" s="10" t="s">
        <v>143</v>
      </c>
    </row>
    <row r="19" customFormat="false" ht="23.85" hidden="false" customHeight="false" outlineLevel="0" collapsed="false">
      <c r="A19" s="10" t="s">
        <v>172</v>
      </c>
      <c r="B19" s="10" t="s">
        <v>173</v>
      </c>
      <c r="C19" s="11" t="s">
        <v>171</v>
      </c>
      <c r="D19" s="10"/>
      <c r="E19" s="10"/>
      <c r="F19" s="10"/>
      <c r="G19" s="10" t="s">
        <v>155</v>
      </c>
    </row>
    <row r="20" customFormat="false" ht="15" hidden="false" customHeight="false" outlineLevel="0" collapsed="false">
      <c r="A20" s="10" t="s">
        <v>174</v>
      </c>
      <c r="B20" s="10" t="s">
        <v>175</v>
      </c>
      <c r="C20" s="11" t="s">
        <v>176</v>
      </c>
      <c r="D20" s="10"/>
      <c r="E20" s="10"/>
      <c r="F20" s="10"/>
      <c r="G20" s="10" t="s">
        <v>155</v>
      </c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2026-07-22T13:31:47Z</dcterms:created>
  <dc:creator>openpyxl</dc:creator>
  <dc:description/>
  <dc:language>en-US</dc:language>
  <cp:lastModifiedBy/>
  <dcterms:modified xsi:type="dcterms:W3CDTF">2026-07-22T13:31:47Z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